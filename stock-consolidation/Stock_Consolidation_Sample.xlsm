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Start" sheetId="1" r:id="rId1"/>
    <sheet name="Raw Data" sheetId="2" r:id="rId2"/>
    <sheet name="Clean Data" sheetId="3" r:id="rId3"/>
    <sheet name="Consolidation Plan" sheetId="4" r:id="rId4"/>
    <sheet name="Not Consolidated" sheetId="5" r:id="rId5"/>
  </sheets>
  <definedNames>
    <definedName name="_xlnm._FilterDatabase" localSheetId="2" hidden="1">'Clean Data'!$A$4:$F$22</definedName>
    <definedName name="_xlnm._FilterDatabase" localSheetId="3" hidden="1">'Consolidation Plan'!$A$4:$I$5</definedName>
    <definedName name="_xlnm._FilterDatabase" localSheetId="4" hidden="1">'Not Consolidated'!$A$4:$F$6</definedName>
    <definedName name="AllowSplit">Start!$C$17</definedName>
    <definedName name="ExcludeTypes">Start!$C$18</definedName>
    <definedName name="LastRun">Start!$B$22</definedName>
    <definedName name="MaxLocationQty">Start!$C$14</definedName>
    <definedName name="MinLocationQty">Start!$C$13</definedName>
    <definedName name="_xlnm.Print_Titles" localSheetId="2">'Clean Data'!$4:$4</definedName>
    <definedName name="_xlnm.Print_Titles" localSheetId="3">'Consolidation Plan'!$4:$4</definedName>
    <definedName name="_xlnm.Print_Titles" localSheetId="4">'Not Consolidated'!$4:$4</definedName>
    <definedName name="RefreshFirst">Start!$C$19</definedName>
    <definedName name="RemoveNoCapacity">Start!$C$15</definedName>
    <definedName name="SameTypeOnly">Start!$C$16</definedName>
  </definedNames>
  <calcPr calcId="124519" fullCalcOnLoad="1"/>
</workbook>
</file>

<file path=xl/sharedStrings.xml><?xml version="1.0" encoding="utf-8"?>
<sst xmlns="http://schemas.openxmlformats.org/spreadsheetml/2006/main" count="257" uniqueCount="134">
  <si>
    <t>Stock Consolidation</t>
  </si>
  <si>
    <t>Cleans the location report, finds items stored in several locations and plans the moves that empty locations.</t>
  </si>
  <si>
    <t>How to use</t>
  </si>
  <si>
    <t>1.  Paste the location report into the Raw Data sheet (all columns, headers in row 1).</t>
  </si>
  <si>
    <t>2.  Check the settings below.</t>
  </si>
  <si>
    <t>3.  Press Build Consolidation Plan.</t>
  </si>
  <si>
    <t xml:space="preserve">     Clean Data = the report with only the needed columns, after removing rows.</t>
  </si>
  <si>
    <t xml:space="preserve">     Consolidation Plan = the moves.   Not Consolidated = locations that have to stay.</t>
  </si>
  <si>
    <t>Settings</t>
  </si>
  <si>
    <t>Only locations with max qty (Maxqvl) from</t>
  </si>
  <si>
    <t>... up to</t>
  </si>
  <si>
    <t>Remove rows with 0 / negative available capacity</t>
  </si>
  <si>
    <t>Yes</t>
  </si>
  <si>
    <t>Only move within the same location type (Typcod)</t>
  </si>
  <si>
    <t>No</t>
  </si>
  <si>
    <t>Allow emptying a location into several locations</t>
  </si>
  <si>
    <t>Location types to ignore (comma separated)</t>
  </si>
  <si>
    <t/>
  </si>
  <si>
    <t>Refresh connected data (e.g. Power BI) before building</t>
  </si>
  <si>
    <t>Status</t>
  </si>
  <si>
    <t>Showing the result for the sample rows. Paste your own report into Raw Data and press Build Consolidation Plan.</t>
  </si>
  <si>
    <t>How it works</t>
  </si>
  <si>
    <t>1.  Only Prtnum, Stoloc, Max of Curqvl, Max of Fp Available, Max of Maxqvl and Typcod are used.</t>
  </si>
  <si>
    <t>2.  Rows with 0 or a negative current qty or max qty are removed (and available capacity, if set above).</t>
  </si>
  <si>
    <t>3.  Only locations whose max qty is within the limits above (9 to 23) are kept.</t>
  </si>
  <si>
    <t>4.  Only items sitting in 2 or more locations are looked at; locations are emptied smallest quantity first.</t>
  </si>
  <si>
    <t>5.  Stock only goes to locations that already hold the same item.</t>
  </si>
  <si>
    <t>6.  A location is only planned if it can be emptied completely:</t>
  </si>
  <si>
    <t xml:space="preserve">     - one move if a location has room for all of it (the one already holding the most of the item wins);</t>
  </si>
  <si>
    <t xml:space="preserve">     - otherwise, if splitting is allowed, spread over the locations with the most room first.</t>
  </si>
  <si>
    <t>7.  A location that is emptied never receives stock, and a location that receives stock is never emptied.</t>
  </si>
  <si>
    <t>8.  Open capacity starts at Fp Available and is updated as moves are planned, so no location is overfilled.</t>
  </si>
  <si>
    <t>9.  If the report is a table exported from Power BI with live connection, it is refreshed first.</t>
  </si>
  <si>
    <t>Prtnum</t>
  </si>
  <si>
    <t>Stoloc</t>
  </si>
  <si>
    <t>Max of Curqvl</t>
  </si>
  <si>
    <t>Max of Fp Available</t>
  </si>
  <si>
    <t>Max of Maxqvl</t>
  </si>
  <si>
    <t>Sto Zone Cod</t>
  </si>
  <si>
    <t>Typcod</t>
  </si>
  <si>
    <t>Prt Velzon</t>
  </si>
  <si>
    <t>Default Ftpcod</t>
  </si>
  <si>
    <t>Sum of Comqty</t>
  </si>
  <si>
    <t>Sum of Pndqvl</t>
  </si>
  <si>
    <t>Max of Lochgt</t>
  </si>
  <si>
    <t>Max of Loclen</t>
  </si>
  <si>
    <t>0100520</t>
  </si>
  <si>
    <t>EB141</t>
  </si>
  <si>
    <t>KCPB</t>
  </si>
  <si>
    <t>KCP</t>
  </si>
  <si>
    <t>A</t>
  </si>
  <si>
    <t>05X12</t>
  </si>
  <si>
    <t>0105202</t>
  </si>
  <si>
    <t>Q097</t>
  </si>
  <si>
    <t>KCPA</t>
  </si>
  <si>
    <t>C</t>
  </si>
  <si>
    <t>07X06</t>
  </si>
  <si>
    <t>0108006</t>
  </si>
  <si>
    <t>EA111</t>
  </si>
  <si>
    <t>B</t>
  </si>
  <si>
    <t>05X06</t>
  </si>
  <si>
    <t>0151003</t>
  </si>
  <si>
    <t>EC140</t>
  </si>
  <si>
    <t>06X09</t>
  </si>
  <si>
    <t>0170002</t>
  </si>
  <si>
    <t>F129</t>
  </si>
  <si>
    <t>06X11</t>
  </si>
  <si>
    <t>0170103</t>
  </si>
  <si>
    <t>F103</t>
  </si>
  <si>
    <t>06X06</t>
  </si>
  <si>
    <t>0180401</t>
  </si>
  <si>
    <t>EA132</t>
  </si>
  <si>
    <t>08X10</t>
  </si>
  <si>
    <t>EA141</t>
  </si>
  <si>
    <t>0180703</t>
  </si>
  <si>
    <t>EC137</t>
  </si>
  <si>
    <t>0200000</t>
  </si>
  <si>
    <t>F108</t>
  </si>
  <si>
    <t>0204601</t>
  </si>
  <si>
    <t>EB140</t>
  </si>
  <si>
    <t>14X08</t>
  </si>
  <si>
    <t>0314830</t>
  </si>
  <si>
    <t>G143</t>
  </si>
  <si>
    <t>KCPC</t>
  </si>
  <si>
    <t>10X14</t>
  </si>
  <si>
    <t>0390419</t>
  </si>
  <si>
    <t>T105</t>
  </si>
  <si>
    <t>CONSA</t>
  </si>
  <si>
    <t>CONS</t>
  </si>
  <si>
    <t>18X18</t>
  </si>
  <si>
    <t>0390421</t>
  </si>
  <si>
    <t>Y183</t>
  </si>
  <si>
    <t>CONSOF</t>
  </si>
  <si>
    <t>0390604</t>
  </si>
  <si>
    <t>R128</t>
  </si>
  <si>
    <t>CONSB</t>
  </si>
  <si>
    <t>15X08</t>
  </si>
  <si>
    <t>0390605</t>
  </si>
  <si>
    <t>ZA166</t>
  </si>
  <si>
    <t>0400703</t>
  </si>
  <si>
    <t>EB127</t>
  </si>
  <si>
    <t>06X08</t>
  </si>
  <si>
    <t>G134</t>
  </si>
  <si>
    <t>Clean Data</t>
  </si>
  <si>
    <t>Rows read: 18   |   Removed - zero or negative qty/capacity: 0   |   Removed - max qty outside 9-23: 0   |   Removed - ignored type: 0   |   Kept: 18</t>
  </si>
  <si>
    <t>Item Number</t>
  </si>
  <si>
    <t>Location</t>
  </si>
  <si>
    <t>Current Qty</t>
  </si>
  <si>
    <t>Available Capacity</t>
  </si>
  <si>
    <t>Max Qty</t>
  </si>
  <si>
    <t>Location Type</t>
  </si>
  <si>
    <t>Item in 2+ locations</t>
  </si>
  <si>
    <t>Consolidation Plan</t>
  </si>
  <si>
    <t>Built 04-Oct-2026 10:05   |   Max qty 9 to 23   |   Same type only: No   |   Split moves: Yes   |   Ignored types: none</t>
  </si>
  <si>
    <t>From Location</t>
  </si>
  <si>
    <t>Qty to Move</t>
  </si>
  <si>
    <t>To Location</t>
  </si>
  <si>
    <t>Target Open Capacity</t>
  </si>
  <si>
    <t>Target Max Capacity</t>
  </si>
  <si>
    <t>Target Location Type</t>
  </si>
  <si>
    <t>From Location Type</t>
  </si>
  <si>
    <t>Target Open After Move</t>
  </si>
  <si>
    <t>Summary</t>
  </si>
  <si>
    <t>Items in 2+ locations</t>
  </si>
  <si>
    <t>Locations emptied</t>
  </si>
  <si>
    <t>Moves</t>
  </si>
  <si>
    <t>Units to move</t>
  </si>
  <si>
    <t>Locations that stay</t>
  </si>
  <si>
    <t>Not Consolidated</t>
  </si>
  <si>
    <t>Locations of multi-location items that cannot be emptied with the space available.   Built 04-Oct-2026 10:05   |   Max qty 9 to 23   |   Same type only: No   |   Split moves: Yes   |   Ignored types: none</t>
  </si>
  <si>
    <t>Quantity</t>
  </si>
  <si>
    <t>Room Elsewhere</t>
  </si>
  <si>
    <t>Reason</t>
  </si>
  <si>
    <t>Not enough room in the item's other locations</t>
  </si>
</sst>
</file>

<file path=xl/styles.xml><?xml version="1.0" encoding="utf-8"?>
<styleSheet xmlns="http://schemas.openxmlformats.org/spreadsheetml/2006/main">
  <numFmts count="2">
    <numFmt numFmtId="164" formatCode="@"/>
    <numFmt numFmtId="165" formatCode="#,##0"/>
  </numFmts>
  <fonts count="14">
    <font>
      <sz val="11"/>
      <color theme="1"/>
      <name val="Calibri"/>
      <family val="2"/>
      <scheme val="minor"/>
    </font>
    <font>
      <b/>
      <sz val="20"/>
      <color rgb="FF1F3864"/>
      <name val="Calibri"/>
      <family val="2"/>
      <scheme val="minor"/>
    </font>
    <font>
      <sz val="11"/>
      <color rgb="FF595959"/>
      <name val="Calibri"/>
      <family val="2"/>
      <scheme val="minor"/>
    </font>
    <font>
      <b/>
      <sz val="12"/>
      <color rgb="FF1F3864"/>
      <name val="Calibri"/>
      <family val="2"/>
      <scheme val="minor"/>
    </font>
    <font>
      <sz val="11"/>
      <color rgb="FF262626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rgb="FF595959"/>
      <name val="Calibri"/>
      <family val="2"/>
      <scheme val="minor"/>
    </font>
    <font>
      <sz val="9"/>
      <color rgb="FF595959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6"/>
      <color rgb="FF1F3864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rgb="FF006100"/>
      <name val="Calibri"/>
      <family val="2"/>
      <scheme val="minor"/>
    </font>
    <font>
      <sz val="11"/>
      <color rgb="FF40404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2CC"/>
        <bgColor indexed="64"/>
      </patternFill>
    </fill>
    <fill>
      <patternFill patternType="solid">
        <fgColor rgb="FF1F3864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thin">
        <color rgb="FF1F3864"/>
      </bottom>
      <diagonal/>
    </border>
    <border>
      <left style="thin">
        <color rgb="FFBF9000"/>
      </left>
      <right style="thin">
        <color rgb="FFBF9000"/>
      </right>
      <top style="thin">
        <color rgb="FFBF9000"/>
      </top>
      <bottom style="thin">
        <color rgb="FFBF9000"/>
      </bottom>
      <diagonal/>
    </border>
    <border>
      <left style="thin">
        <color rgb="FF1F3864"/>
      </left>
      <right style="thin">
        <color rgb="FF1F3864"/>
      </right>
      <top style="thin">
        <color rgb="FF1F3864"/>
      </top>
      <bottom style="thin">
        <color rgb="FF1F3864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C8CED8"/>
      </left>
      <right style="thin">
        <color rgb="FFC8CED8"/>
      </right>
      <top style="thin">
        <color rgb="FFC8CED8"/>
      </top>
      <bottom style="thin">
        <color rgb="FFC8CED8"/>
      </bottom>
      <diagonal/>
    </border>
    <border>
      <left style="thin">
        <color rgb="FFD9D9D9"/>
      </left>
      <right style="thin">
        <color rgb="FFD9D9D9"/>
      </right>
      <top style="thin">
        <color rgb="FF8EA0BD"/>
      </top>
      <bottom style="thin">
        <color rgb="FFD9D9D9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1" xfId="0" applyFont="1" applyBorder="1"/>
    <xf numFmtId="0" fontId="4" fillId="0" borderId="0" xfId="0" applyFont="1"/>
    <xf numFmtId="0" fontId="4" fillId="0" borderId="0" xfId="0" applyFont="1" applyAlignment="1">
      <alignment vertical="center"/>
    </xf>
    <xf numFmtId="0" fontId="5" fillId="2" borderId="2" xfId="0" applyFont="1" applyFill="1" applyBorder="1" applyAlignment="1">
      <alignment horizontal="center" vertical="center"/>
    </xf>
    <xf numFmtId="0" fontId="6" fillId="0" borderId="0" xfId="0" applyFont="1"/>
    <xf numFmtId="0" fontId="7" fillId="0" borderId="0" xfId="0" applyFont="1"/>
    <xf numFmtId="164" fontId="0" fillId="0" borderId="0" xfId="0" applyNumberFormat="1"/>
    <xf numFmtId="0" fontId="8" fillId="3" borderId="3" xfId="0" applyFont="1" applyFill="1" applyBorder="1" applyAlignment="1">
      <alignment vertical="center" wrapText="1"/>
    </xf>
    <xf numFmtId="0" fontId="9" fillId="0" borderId="0" xfId="0" applyFont="1"/>
    <xf numFmtId="0" fontId="8" fillId="3" borderId="0" xfId="0" applyFont="1" applyFill="1" applyAlignment="1">
      <alignment horizontal="center" vertical="center" wrapText="1"/>
    </xf>
    <xf numFmtId="0" fontId="5" fillId="2" borderId="4" xfId="0" applyFont="1" applyFill="1" applyBorder="1" applyAlignment="1">
      <alignment horizontal="center" vertical="center"/>
    </xf>
    <xf numFmtId="164" fontId="10" fillId="0" borderId="4" xfId="0" applyNumberFormat="1" applyFont="1" applyBorder="1" applyAlignment="1">
      <alignment horizontal="left" vertical="center"/>
    </xf>
    <xf numFmtId="164" fontId="10" fillId="0" borderId="4" xfId="0" applyNumberFormat="1" applyFont="1" applyBorder="1" applyAlignment="1">
      <alignment horizontal="center" vertical="center"/>
    </xf>
    <xf numFmtId="165" fontId="10" fillId="0" borderId="4" xfId="0" applyNumberFormat="1" applyFont="1" applyBorder="1" applyAlignment="1">
      <alignment horizontal="center" vertical="center"/>
    </xf>
    <xf numFmtId="164" fontId="11" fillId="2" borderId="4" xfId="0" applyNumberFormat="1" applyFont="1" applyFill="1" applyBorder="1" applyAlignment="1">
      <alignment horizontal="left" vertical="center"/>
    </xf>
    <xf numFmtId="164" fontId="10" fillId="2" borderId="4" xfId="0" applyNumberFormat="1" applyFont="1" applyFill="1" applyBorder="1" applyAlignment="1">
      <alignment horizontal="center" vertical="center"/>
    </xf>
    <xf numFmtId="165" fontId="10" fillId="2" borderId="4" xfId="0" applyNumberFormat="1" applyFont="1" applyFill="1" applyBorder="1" applyAlignment="1">
      <alignment horizontal="center" vertical="center"/>
    </xf>
    <xf numFmtId="0" fontId="8" fillId="3" borderId="5" xfId="0" applyFont="1" applyFill="1" applyBorder="1" applyAlignment="1">
      <alignment vertical="center"/>
    </xf>
    <xf numFmtId="164" fontId="11" fillId="0" borderId="6" xfId="0" applyNumberFormat="1" applyFont="1" applyBorder="1" applyAlignment="1">
      <alignment horizontal="left" vertical="center"/>
    </xf>
    <xf numFmtId="164" fontId="10" fillId="0" borderId="6" xfId="0" applyNumberFormat="1" applyFont="1" applyBorder="1" applyAlignment="1">
      <alignment horizontal="center" vertical="center"/>
    </xf>
    <xf numFmtId="165" fontId="12" fillId="0" borderId="6" xfId="0" applyNumberFormat="1" applyFont="1" applyBorder="1" applyAlignment="1">
      <alignment horizontal="center" vertical="center"/>
    </xf>
    <xf numFmtId="165" fontId="10" fillId="0" borderId="6" xfId="0" applyNumberFormat="1" applyFont="1" applyBorder="1" applyAlignment="1">
      <alignment horizontal="center" vertical="center"/>
    </xf>
    <xf numFmtId="0" fontId="13" fillId="0" borderId="5" xfId="0" applyFont="1" applyBorder="1"/>
    <xf numFmtId="165" fontId="5" fillId="0" borderId="5" xfId="0" applyNumberFormat="1" applyFont="1" applyBorder="1" applyAlignment="1">
      <alignment horizontal="right"/>
    </xf>
    <xf numFmtId="164" fontId="10" fillId="0" borderId="6" xfId="0" applyNumberFormat="1" applyFont="1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tStart">
    <pageSetUpPr fitToPage="1"/>
  </sheetPr>
  <dimension ref="B2:C35"/>
  <sheetViews>
    <sheetView showGridLines="0" tabSelected="1" workbookViewId="0"/>
  </sheetViews>
  <sheetFormatPr defaultRowHeight="15"/>
  <cols>
    <col min="1" max="1" width="2.7109375" customWidth="1"/>
    <col min="2" max="2" width="50.7109375" customWidth="1"/>
    <col min="3" max="3" width="16.7109375" customWidth="1"/>
    <col min="4" max="4" width="3.7109375" customWidth="1"/>
    <col min="5" max="5" width="30.7109375" customWidth="1"/>
  </cols>
  <sheetData>
    <row r="2" spans="2:3">
      <c r="B2" s="1" t="s">
        <v>0</v>
      </c>
    </row>
    <row r="3" spans="2:3">
      <c r="B3" s="2" t="s">
        <v>1</v>
      </c>
    </row>
    <row r="5" spans="2:3">
      <c r="B5" s="3" t="s">
        <v>2</v>
      </c>
      <c r="C5" s="3"/>
    </row>
    <row r="6" spans="2:3">
      <c r="B6" s="4" t="s">
        <v>3</v>
      </c>
    </row>
    <row r="7" spans="2:3">
      <c r="B7" s="4" t="s">
        <v>4</v>
      </c>
    </row>
    <row r="8" spans="2:3">
      <c r="B8" s="4" t="s">
        <v>5</v>
      </c>
    </row>
    <row r="9" spans="2:3">
      <c r="B9" s="4" t="s">
        <v>6</v>
      </c>
    </row>
    <row r="10" spans="2:3">
      <c r="B10" s="4" t="s">
        <v>7</v>
      </c>
    </row>
    <row r="12" spans="2:3">
      <c r="B12" s="3" t="s">
        <v>8</v>
      </c>
      <c r="C12" s="3"/>
    </row>
    <row r="13" spans="2:3" ht="20" customHeight="1">
      <c r="B13" s="5" t="s">
        <v>9</v>
      </c>
      <c r="C13" s="6">
        <v>9</v>
      </c>
    </row>
    <row r="14" spans="2:3" ht="20" customHeight="1">
      <c r="B14" s="5" t="s">
        <v>10</v>
      </c>
      <c r="C14" s="6">
        <v>23</v>
      </c>
    </row>
    <row r="15" spans="2:3" ht="20" customHeight="1">
      <c r="B15" s="5" t="s">
        <v>11</v>
      </c>
      <c r="C15" s="6" t="s">
        <v>12</v>
      </c>
    </row>
    <row r="16" spans="2:3" ht="20" customHeight="1">
      <c r="B16" s="5" t="s">
        <v>13</v>
      </c>
      <c r="C16" s="6" t="s">
        <v>14</v>
      </c>
    </row>
    <row r="17" spans="2:3" ht="20" customHeight="1">
      <c r="B17" s="5" t="s">
        <v>15</v>
      </c>
      <c r="C17" s="6" t="s">
        <v>12</v>
      </c>
    </row>
    <row r="18" spans="2:3" ht="20" customHeight="1">
      <c r="B18" s="5" t="s">
        <v>16</v>
      </c>
      <c r="C18" s="6" t="s">
        <v>17</v>
      </c>
    </row>
    <row r="19" spans="2:3" ht="20" customHeight="1">
      <c r="B19" s="5" t="s">
        <v>18</v>
      </c>
      <c r="C19" s="6" t="s">
        <v>12</v>
      </c>
    </row>
    <row r="21" spans="2:3">
      <c r="B21" s="3" t="s">
        <v>19</v>
      </c>
      <c r="C21" s="3"/>
    </row>
    <row r="22" spans="2:3">
      <c r="B22" s="7" t="s">
        <v>20</v>
      </c>
    </row>
    <row r="24" spans="2:3">
      <c r="B24" s="3" t="s">
        <v>21</v>
      </c>
      <c r="C24" s="3"/>
    </row>
    <row r="25" spans="2:3">
      <c r="B25" s="8" t="s">
        <v>22</v>
      </c>
    </row>
    <row r="26" spans="2:3">
      <c r="B26" s="8" t="s">
        <v>23</v>
      </c>
    </row>
    <row r="27" spans="2:3">
      <c r="B27" s="8" t="s">
        <v>24</v>
      </c>
    </row>
    <row r="28" spans="2:3">
      <c r="B28" s="8" t="s">
        <v>25</v>
      </c>
    </row>
    <row r="29" spans="2:3">
      <c r="B29" s="8" t="s">
        <v>26</v>
      </c>
    </row>
    <row r="30" spans="2:3">
      <c r="B30" s="8" t="s">
        <v>27</v>
      </c>
    </row>
    <row r="31" spans="2:3">
      <c r="B31" s="8" t="s">
        <v>28</v>
      </c>
    </row>
    <row r="32" spans="2:3">
      <c r="B32" s="8" t="s">
        <v>29</v>
      </c>
    </row>
    <row r="33" spans="2:2">
      <c r="B33" s="8" t="s">
        <v>30</v>
      </c>
    </row>
    <row r="34" spans="2:2">
      <c r="B34" s="8" t="s">
        <v>31</v>
      </c>
    </row>
    <row r="35" spans="2:2">
      <c r="B35" s="8" t="s">
        <v>32</v>
      </c>
    </row>
  </sheetData>
  <dataValidations count="6">
    <dataValidation type="decimal" operator="greaterThan" allowBlank="1" showInputMessage="1" showErrorMessage="1" sqref="C13">
      <formula1>0</formula1>
    </dataValidation>
    <dataValidation type="decimal" operator="greaterThan" allowBlank="1" showInputMessage="1" showErrorMessage="1" sqref="C14">
      <formula1>0</formula1>
    </dataValidation>
    <dataValidation type="list" allowBlank="1" showInputMessage="1" showErrorMessage="1" sqref="C15">
      <formula1>"Yes,No"</formula1>
    </dataValidation>
    <dataValidation type="list" allowBlank="1" showInputMessage="1" showErrorMessage="1" sqref="C16">
      <formula1>"Yes,No"</formula1>
    </dataValidation>
    <dataValidation type="list" allowBlank="1" showInputMessage="1" showErrorMessage="1" sqref="C17">
      <formula1>"Yes,No"</formula1>
    </dataValidation>
    <dataValidation type="list" allowBlank="1" showInputMessage="1" showErrorMessage="1" sqref="C19">
      <formula1>"Yes,No"</formula1>
    </dataValidation>
  </dataValidations>
  <pageMargins left="0.7" right="0.7" top="0.75" bottom="0.75" header="0.3" footer="0.3"/>
  <pageSetup orientation="landscape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tRaw"/>
  <dimension ref="A1:M19"/>
  <sheetViews>
    <sheetView workbookViewId="0">
      <pane ySplit="1" topLeftCell="A2" activePane="bottomLeft" state="frozen"/>
      <selection pane="bottomLeft"/>
    </sheetView>
  </sheetViews>
  <sheetFormatPr defaultRowHeight="15"/>
  <cols>
    <col min="1" max="2" width="11.7109375" style="9" customWidth="1"/>
    <col min="3" max="5" width="12.7109375" customWidth="1"/>
    <col min="6" max="9" width="11.7109375" customWidth="1"/>
    <col min="10" max="13" width="12.7109375" customWidth="1"/>
  </cols>
  <sheetData>
    <row r="1" spans="1:13" ht="30" customHeight="1">
      <c r="A1" s="10" t="s">
        <v>33</v>
      </c>
      <c r="B1" s="10" t="s">
        <v>34</v>
      </c>
      <c r="C1" s="10" t="s">
        <v>35</v>
      </c>
      <c r="D1" s="10" t="s">
        <v>36</v>
      </c>
      <c r="E1" s="10" t="s">
        <v>37</v>
      </c>
      <c r="F1" s="10" t="s">
        <v>38</v>
      </c>
      <c r="G1" s="10" t="s">
        <v>39</v>
      </c>
      <c r="H1" s="10" t="s">
        <v>40</v>
      </c>
      <c r="I1" s="10" t="s">
        <v>41</v>
      </c>
      <c r="J1" s="10" t="s">
        <v>42</v>
      </c>
      <c r="K1" s="10" t="s">
        <v>43</v>
      </c>
      <c r="L1" s="10" t="s">
        <v>44</v>
      </c>
      <c r="M1" s="10" t="s">
        <v>45</v>
      </c>
    </row>
    <row r="2" spans="1:13">
      <c r="A2" s="9" t="s">
        <v>46</v>
      </c>
      <c r="B2" s="9" t="s">
        <v>47</v>
      </c>
      <c r="C2">
        <v>9</v>
      </c>
      <c r="D2">
        <v>2</v>
      </c>
      <c r="E2">
        <v>11</v>
      </c>
      <c r="F2" t="s">
        <v>48</v>
      </c>
      <c r="G2" t="s">
        <v>49</v>
      </c>
      <c r="H2" t="s">
        <v>50</v>
      </c>
      <c r="I2" t="s">
        <v>51</v>
      </c>
      <c r="J2">
        <v>0</v>
      </c>
      <c r="K2">
        <v>0</v>
      </c>
      <c r="L2">
        <v>336</v>
      </c>
      <c r="M2">
        <v>245</v>
      </c>
    </row>
    <row r="3" spans="1:13">
      <c r="A3" s="9" t="s">
        <v>52</v>
      </c>
      <c r="B3" s="9" t="s">
        <v>53</v>
      </c>
      <c r="C3">
        <v>5</v>
      </c>
      <c r="D3">
        <v>6</v>
      </c>
      <c r="E3">
        <v>11</v>
      </c>
      <c r="F3" t="s">
        <v>54</v>
      </c>
      <c r="G3" t="s">
        <v>49</v>
      </c>
      <c r="H3" t="s">
        <v>55</v>
      </c>
      <c r="I3" t="s">
        <v>56</v>
      </c>
      <c r="J3">
        <v>0</v>
      </c>
      <c r="K3">
        <v>0</v>
      </c>
      <c r="L3">
        <v>260</v>
      </c>
      <c r="M3">
        <v>245</v>
      </c>
    </row>
    <row r="4" spans="1:13">
      <c r="A4" s="9" t="s">
        <v>57</v>
      </c>
      <c r="B4" s="9" t="s">
        <v>58</v>
      </c>
      <c r="C4">
        <v>4</v>
      </c>
      <c r="D4">
        <v>7</v>
      </c>
      <c r="E4">
        <v>11</v>
      </c>
      <c r="F4" t="s">
        <v>54</v>
      </c>
      <c r="G4" t="s">
        <v>49</v>
      </c>
      <c r="H4" t="s">
        <v>59</v>
      </c>
      <c r="I4" t="s">
        <v>60</v>
      </c>
      <c r="J4">
        <v>0</v>
      </c>
      <c r="K4">
        <v>0</v>
      </c>
      <c r="L4">
        <v>336</v>
      </c>
      <c r="M4">
        <v>245</v>
      </c>
    </row>
    <row r="5" spans="1:13">
      <c r="A5" s="9" t="s">
        <v>61</v>
      </c>
      <c r="B5" s="9" t="s">
        <v>62</v>
      </c>
      <c r="C5">
        <v>6</v>
      </c>
      <c r="D5">
        <v>5</v>
      </c>
      <c r="E5">
        <v>11</v>
      </c>
      <c r="F5" t="s">
        <v>48</v>
      </c>
      <c r="G5" t="s">
        <v>49</v>
      </c>
      <c r="H5" t="s">
        <v>55</v>
      </c>
      <c r="I5" t="s">
        <v>63</v>
      </c>
      <c r="J5">
        <v>0</v>
      </c>
      <c r="K5">
        <v>0</v>
      </c>
      <c r="L5">
        <v>336</v>
      </c>
      <c r="M5">
        <v>245</v>
      </c>
    </row>
    <row r="6" spans="1:13">
      <c r="A6" s="9" t="s">
        <v>64</v>
      </c>
      <c r="B6" s="9" t="s">
        <v>65</v>
      </c>
      <c r="C6">
        <v>4</v>
      </c>
      <c r="D6">
        <v>5</v>
      </c>
      <c r="E6">
        <v>9</v>
      </c>
      <c r="F6" t="s">
        <v>48</v>
      </c>
      <c r="G6" t="s">
        <v>49</v>
      </c>
      <c r="H6" t="s">
        <v>59</v>
      </c>
      <c r="I6" t="s">
        <v>66</v>
      </c>
      <c r="J6">
        <v>0</v>
      </c>
      <c r="K6">
        <v>0</v>
      </c>
      <c r="L6">
        <v>260</v>
      </c>
      <c r="M6">
        <v>242</v>
      </c>
    </row>
    <row r="7" spans="1:13">
      <c r="A7" s="9" t="s">
        <v>67</v>
      </c>
      <c r="B7" s="9" t="s">
        <v>68</v>
      </c>
      <c r="C7">
        <v>10</v>
      </c>
      <c r="D7">
        <v>1</v>
      </c>
      <c r="E7">
        <v>11</v>
      </c>
      <c r="F7" t="s">
        <v>54</v>
      </c>
      <c r="G7" t="s">
        <v>49</v>
      </c>
      <c r="H7" t="s">
        <v>55</v>
      </c>
      <c r="I7" t="s">
        <v>69</v>
      </c>
      <c r="J7">
        <v>0</v>
      </c>
      <c r="K7">
        <v>0</v>
      </c>
      <c r="L7">
        <v>260</v>
      </c>
      <c r="M7">
        <v>242</v>
      </c>
    </row>
    <row r="8" spans="1:13">
      <c r="A8" s="9" t="s">
        <v>70</v>
      </c>
      <c r="B8" s="9" t="s">
        <v>71</v>
      </c>
      <c r="C8">
        <v>3</v>
      </c>
      <c r="D8">
        <v>6</v>
      </c>
      <c r="E8">
        <v>9</v>
      </c>
      <c r="F8" t="s">
        <v>48</v>
      </c>
      <c r="G8" t="s">
        <v>49</v>
      </c>
      <c r="H8" t="s">
        <v>50</v>
      </c>
      <c r="I8" t="s">
        <v>72</v>
      </c>
      <c r="J8">
        <v>0</v>
      </c>
      <c r="K8">
        <v>0</v>
      </c>
      <c r="L8">
        <v>336</v>
      </c>
      <c r="M8">
        <v>245</v>
      </c>
    </row>
    <row r="9" spans="1:13">
      <c r="A9" s="9" t="s">
        <v>70</v>
      </c>
      <c r="B9" s="9" t="s">
        <v>73</v>
      </c>
      <c r="C9">
        <v>7</v>
      </c>
      <c r="D9">
        <v>2</v>
      </c>
      <c r="E9">
        <v>9</v>
      </c>
      <c r="F9" t="s">
        <v>48</v>
      </c>
      <c r="G9" t="s">
        <v>49</v>
      </c>
      <c r="H9" t="s">
        <v>50</v>
      </c>
      <c r="I9" t="s">
        <v>72</v>
      </c>
      <c r="J9">
        <v>0</v>
      </c>
      <c r="K9">
        <v>0</v>
      </c>
      <c r="L9">
        <v>336</v>
      </c>
      <c r="M9">
        <v>245</v>
      </c>
    </row>
    <row r="10" spans="1:13">
      <c r="A10" s="9" t="s">
        <v>74</v>
      </c>
      <c r="B10" s="9" t="s">
        <v>75</v>
      </c>
      <c r="C10">
        <v>10</v>
      </c>
      <c r="D10">
        <v>1</v>
      </c>
      <c r="E10">
        <v>11</v>
      </c>
      <c r="F10" t="s">
        <v>48</v>
      </c>
      <c r="G10" t="s">
        <v>49</v>
      </c>
      <c r="H10" t="s">
        <v>55</v>
      </c>
      <c r="I10" t="s">
        <v>72</v>
      </c>
      <c r="J10">
        <v>0</v>
      </c>
      <c r="K10">
        <v>0</v>
      </c>
      <c r="L10">
        <v>336</v>
      </c>
      <c r="M10">
        <v>245</v>
      </c>
    </row>
    <row r="11" spans="1:13">
      <c r="A11" s="9" t="s">
        <v>76</v>
      </c>
      <c r="B11" s="9" t="s">
        <v>77</v>
      </c>
      <c r="C11">
        <v>6</v>
      </c>
      <c r="D11">
        <v>5</v>
      </c>
      <c r="E11">
        <v>11</v>
      </c>
      <c r="F11" t="s">
        <v>54</v>
      </c>
      <c r="G11" t="s">
        <v>49</v>
      </c>
      <c r="H11" t="s">
        <v>50</v>
      </c>
      <c r="I11" t="s">
        <v>51</v>
      </c>
      <c r="J11">
        <v>0</v>
      </c>
      <c r="K11">
        <v>0</v>
      </c>
      <c r="L11">
        <v>260</v>
      </c>
      <c r="M11">
        <v>242</v>
      </c>
    </row>
    <row r="12" spans="1:13">
      <c r="A12" s="9" t="s">
        <v>78</v>
      </c>
      <c r="B12" s="9" t="s">
        <v>79</v>
      </c>
      <c r="C12">
        <v>9</v>
      </c>
      <c r="D12">
        <v>2</v>
      </c>
      <c r="E12">
        <v>11</v>
      </c>
      <c r="F12" t="s">
        <v>48</v>
      </c>
      <c r="G12" t="s">
        <v>49</v>
      </c>
      <c r="H12" t="s">
        <v>55</v>
      </c>
      <c r="I12" t="s">
        <v>80</v>
      </c>
      <c r="J12">
        <v>0</v>
      </c>
      <c r="K12">
        <v>0</v>
      </c>
      <c r="L12">
        <v>336</v>
      </c>
      <c r="M12">
        <v>245</v>
      </c>
    </row>
    <row r="13" spans="1:13">
      <c r="A13" s="9" t="s">
        <v>81</v>
      </c>
      <c r="B13" s="9" t="s">
        <v>82</v>
      </c>
      <c r="C13">
        <v>4</v>
      </c>
      <c r="D13">
        <v>7</v>
      </c>
      <c r="E13">
        <v>11</v>
      </c>
      <c r="F13" t="s">
        <v>83</v>
      </c>
      <c r="G13" t="s">
        <v>49</v>
      </c>
      <c r="H13" t="s">
        <v>55</v>
      </c>
      <c r="I13" t="s">
        <v>84</v>
      </c>
      <c r="J13">
        <v>0</v>
      </c>
      <c r="K13">
        <v>0</v>
      </c>
      <c r="L13">
        <v>260</v>
      </c>
      <c r="M13">
        <v>242</v>
      </c>
    </row>
    <row r="14" spans="1:13">
      <c r="A14" s="9" t="s">
        <v>85</v>
      </c>
      <c r="B14" s="9" t="s">
        <v>86</v>
      </c>
      <c r="C14">
        <v>3</v>
      </c>
      <c r="D14">
        <v>6</v>
      </c>
      <c r="E14">
        <v>9</v>
      </c>
      <c r="F14" t="s">
        <v>87</v>
      </c>
      <c r="G14" t="s">
        <v>88</v>
      </c>
      <c r="H14" t="s">
        <v>55</v>
      </c>
      <c r="I14" t="s">
        <v>89</v>
      </c>
      <c r="J14">
        <v>0</v>
      </c>
      <c r="K14">
        <v>0</v>
      </c>
      <c r="L14">
        <v>260</v>
      </c>
      <c r="M14">
        <v>242</v>
      </c>
    </row>
    <row r="15" spans="1:13">
      <c r="A15" s="9" t="s">
        <v>90</v>
      </c>
      <c r="B15" s="9" t="s">
        <v>91</v>
      </c>
      <c r="C15">
        <v>6</v>
      </c>
      <c r="D15">
        <v>3</v>
      </c>
      <c r="E15">
        <v>9</v>
      </c>
      <c r="F15" t="s">
        <v>92</v>
      </c>
      <c r="G15" t="s">
        <v>88</v>
      </c>
      <c r="H15" t="s">
        <v>55</v>
      </c>
      <c r="I15" t="s">
        <v>89</v>
      </c>
      <c r="J15">
        <v>0</v>
      </c>
      <c r="K15">
        <v>0</v>
      </c>
      <c r="L15">
        <v>260</v>
      </c>
      <c r="M15">
        <v>240</v>
      </c>
    </row>
    <row r="16" spans="1:13">
      <c r="A16" s="9" t="s">
        <v>93</v>
      </c>
      <c r="B16" s="9" t="s">
        <v>94</v>
      </c>
      <c r="C16">
        <v>4</v>
      </c>
      <c r="D16">
        <v>7</v>
      </c>
      <c r="E16">
        <v>11</v>
      </c>
      <c r="F16" t="s">
        <v>95</v>
      </c>
      <c r="G16" t="s">
        <v>88</v>
      </c>
      <c r="H16" t="s">
        <v>55</v>
      </c>
      <c r="I16" t="s">
        <v>96</v>
      </c>
      <c r="J16">
        <v>0</v>
      </c>
      <c r="K16">
        <v>0</v>
      </c>
      <c r="L16">
        <v>260</v>
      </c>
      <c r="M16">
        <v>242</v>
      </c>
    </row>
    <row r="17" spans="1:13">
      <c r="A17" s="9" t="s">
        <v>97</v>
      </c>
      <c r="B17" s="9" t="s">
        <v>98</v>
      </c>
      <c r="C17">
        <v>3</v>
      </c>
      <c r="D17">
        <v>8</v>
      </c>
      <c r="E17">
        <v>11</v>
      </c>
      <c r="F17" t="s">
        <v>92</v>
      </c>
      <c r="G17" t="s">
        <v>88</v>
      </c>
      <c r="H17" t="s">
        <v>55</v>
      </c>
      <c r="I17" t="s">
        <v>96</v>
      </c>
      <c r="J17">
        <v>0</v>
      </c>
      <c r="K17">
        <v>0</v>
      </c>
      <c r="L17">
        <v>260</v>
      </c>
      <c r="M17">
        <v>242</v>
      </c>
    </row>
    <row r="18" spans="1:13">
      <c r="A18" s="9" t="s">
        <v>99</v>
      </c>
      <c r="B18" s="9" t="s">
        <v>100</v>
      </c>
      <c r="C18">
        <v>9</v>
      </c>
      <c r="D18">
        <v>2</v>
      </c>
      <c r="E18">
        <v>11</v>
      </c>
      <c r="F18" t="s">
        <v>54</v>
      </c>
      <c r="G18" t="s">
        <v>49</v>
      </c>
      <c r="H18" t="s">
        <v>50</v>
      </c>
      <c r="I18" t="s">
        <v>101</v>
      </c>
      <c r="J18">
        <v>0</v>
      </c>
      <c r="K18">
        <v>0</v>
      </c>
      <c r="L18">
        <v>336</v>
      </c>
      <c r="M18">
        <v>245</v>
      </c>
    </row>
    <row r="19" spans="1:13">
      <c r="A19" s="9" t="s">
        <v>99</v>
      </c>
      <c r="B19" s="9" t="s">
        <v>102</v>
      </c>
      <c r="C19">
        <v>1</v>
      </c>
      <c r="D19">
        <v>8</v>
      </c>
      <c r="E19">
        <v>9</v>
      </c>
      <c r="F19" t="s">
        <v>83</v>
      </c>
      <c r="G19" t="s">
        <v>49</v>
      </c>
      <c r="H19" t="s">
        <v>50</v>
      </c>
      <c r="I19" t="s">
        <v>101</v>
      </c>
      <c r="J19">
        <v>0</v>
      </c>
      <c r="K19">
        <v>0</v>
      </c>
      <c r="L19">
        <v>260</v>
      </c>
      <c r="M19">
        <v>242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tClean">
    <pageSetUpPr fitToPage="1"/>
  </sheetPr>
  <dimension ref="A1:H22"/>
  <sheetViews>
    <sheetView workbookViewId="0">
      <pane ySplit="4" topLeftCell="A5" activePane="bottomLeft" state="frozen"/>
      <selection pane="bottomLeft"/>
    </sheetView>
  </sheetViews>
  <sheetFormatPr defaultRowHeight="15"/>
  <cols>
    <col min="1" max="1" width="14.7109375" customWidth="1"/>
    <col min="2" max="3" width="12.7109375" customWidth="1"/>
    <col min="4" max="4" width="13.7109375" customWidth="1"/>
    <col min="5" max="5" width="10.7109375" customWidth="1"/>
    <col min="6" max="6" width="13.7109375" customWidth="1"/>
    <col min="7" max="7" width="3.7109375" customWidth="1"/>
    <col min="8" max="8" width="22.7109375" customWidth="1"/>
  </cols>
  <sheetData>
    <row r="1" spans="1:8">
      <c r="A1" s="11" t="s">
        <v>103</v>
      </c>
    </row>
    <row r="2" spans="1:8">
      <c r="A2" s="8" t="s">
        <v>104</v>
      </c>
    </row>
    <row r="4" spans="1:8" ht="30" customHeight="1">
      <c r="A4" s="12" t="s">
        <v>105</v>
      </c>
      <c r="B4" s="12" t="s">
        <v>106</v>
      </c>
      <c r="C4" s="12" t="s">
        <v>107</v>
      </c>
      <c r="D4" s="12" t="s">
        <v>108</v>
      </c>
      <c r="E4" s="12" t="s">
        <v>109</v>
      </c>
      <c r="F4" s="12" t="s">
        <v>110</v>
      </c>
      <c r="H4" s="13" t="s">
        <v>111</v>
      </c>
    </row>
    <row r="5" spans="1:8">
      <c r="A5" s="14" t="s">
        <v>46</v>
      </c>
      <c r="B5" s="15" t="s">
        <v>47</v>
      </c>
      <c r="C5" s="16">
        <v>9</v>
      </c>
      <c r="D5" s="16">
        <v>2</v>
      </c>
      <c r="E5" s="16">
        <v>11</v>
      </c>
      <c r="F5" s="15" t="s">
        <v>49</v>
      </c>
    </row>
    <row r="6" spans="1:8">
      <c r="A6" s="14" t="s">
        <v>52</v>
      </c>
      <c r="B6" s="15" t="s">
        <v>53</v>
      </c>
      <c r="C6" s="16">
        <v>5</v>
      </c>
      <c r="D6" s="16">
        <v>6</v>
      </c>
      <c r="E6" s="16">
        <v>11</v>
      </c>
      <c r="F6" s="15" t="s">
        <v>49</v>
      </c>
    </row>
    <row r="7" spans="1:8">
      <c r="A7" s="14" t="s">
        <v>57</v>
      </c>
      <c r="B7" s="15" t="s">
        <v>58</v>
      </c>
      <c r="C7" s="16">
        <v>4</v>
      </c>
      <c r="D7" s="16">
        <v>7</v>
      </c>
      <c r="E7" s="16">
        <v>11</v>
      </c>
      <c r="F7" s="15" t="s">
        <v>49</v>
      </c>
    </row>
    <row r="8" spans="1:8">
      <c r="A8" s="14" t="s">
        <v>61</v>
      </c>
      <c r="B8" s="15" t="s">
        <v>62</v>
      </c>
      <c r="C8" s="16">
        <v>6</v>
      </c>
      <c r="D8" s="16">
        <v>5</v>
      </c>
      <c r="E8" s="16">
        <v>11</v>
      </c>
      <c r="F8" s="15" t="s">
        <v>49</v>
      </c>
    </row>
    <row r="9" spans="1:8">
      <c r="A9" s="14" t="s">
        <v>64</v>
      </c>
      <c r="B9" s="15" t="s">
        <v>65</v>
      </c>
      <c r="C9" s="16">
        <v>4</v>
      </c>
      <c r="D9" s="16">
        <v>5</v>
      </c>
      <c r="E9" s="16">
        <v>9</v>
      </c>
      <c r="F9" s="15" t="s">
        <v>49</v>
      </c>
    </row>
    <row r="10" spans="1:8">
      <c r="A10" s="14" t="s">
        <v>67</v>
      </c>
      <c r="B10" s="15" t="s">
        <v>68</v>
      </c>
      <c r="C10" s="16">
        <v>10</v>
      </c>
      <c r="D10" s="16">
        <v>1</v>
      </c>
      <c r="E10" s="16">
        <v>11</v>
      </c>
      <c r="F10" s="15" t="s">
        <v>49</v>
      </c>
    </row>
    <row r="11" spans="1:8">
      <c r="A11" s="17" t="s">
        <v>70</v>
      </c>
      <c r="B11" s="18" t="s">
        <v>71</v>
      </c>
      <c r="C11" s="19">
        <v>3</v>
      </c>
      <c r="D11" s="19">
        <v>6</v>
      </c>
      <c r="E11" s="19">
        <v>9</v>
      </c>
      <c r="F11" s="18" t="s">
        <v>49</v>
      </c>
    </row>
    <row r="12" spans="1:8">
      <c r="A12" s="17" t="s">
        <v>70</v>
      </c>
      <c r="B12" s="18" t="s">
        <v>73</v>
      </c>
      <c r="C12" s="19">
        <v>7</v>
      </c>
      <c r="D12" s="19">
        <v>2</v>
      </c>
      <c r="E12" s="19">
        <v>9</v>
      </c>
      <c r="F12" s="18" t="s">
        <v>49</v>
      </c>
    </row>
    <row r="13" spans="1:8">
      <c r="A13" s="14" t="s">
        <v>74</v>
      </c>
      <c r="B13" s="15" t="s">
        <v>75</v>
      </c>
      <c r="C13" s="16">
        <v>10</v>
      </c>
      <c r="D13" s="16">
        <v>1</v>
      </c>
      <c r="E13" s="16">
        <v>11</v>
      </c>
      <c r="F13" s="15" t="s">
        <v>49</v>
      </c>
    </row>
    <row r="14" spans="1:8">
      <c r="A14" s="14" t="s">
        <v>76</v>
      </c>
      <c r="B14" s="15" t="s">
        <v>77</v>
      </c>
      <c r="C14" s="16">
        <v>6</v>
      </c>
      <c r="D14" s="16">
        <v>5</v>
      </c>
      <c r="E14" s="16">
        <v>11</v>
      </c>
      <c r="F14" s="15" t="s">
        <v>49</v>
      </c>
    </row>
    <row r="15" spans="1:8">
      <c r="A15" s="14" t="s">
        <v>78</v>
      </c>
      <c r="B15" s="15" t="s">
        <v>79</v>
      </c>
      <c r="C15" s="16">
        <v>9</v>
      </c>
      <c r="D15" s="16">
        <v>2</v>
      </c>
      <c r="E15" s="16">
        <v>11</v>
      </c>
      <c r="F15" s="15" t="s">
        <v>49</v>
      </c>
    </row>
    <row r="16" spans="1:8">
      <c r="A16" s="14" t="s">
        <v>81</v>
      </c>
      <c r="B16" s="15" t="s">
        <v>82</v>
      </c>
      <c r="C16" s="16">
        <v>4</v>
      </c>
      <c r="D16" s="16">
        <v>7</v>
      </c>
      <c r="E16" s="16">
        <v>11</v>
      </c>
      <c r="F16" s="15" t="s">
        <v>49</v>
      </c>
    </row>
    <row r="17" spans="1:6">
      <c r="A17" s="14" t="s">
        <v>85</v>
      </c>
      <c r="B17" s="15" t="s">
        <v>86</v>
      </c>
      <c r="C17" s="16">
        <v>3</v>
      </c>
      <c r="D17" s="16">
        <v>6</v>
      </c>
      <c r="E17" s="16">
        <v>9</v>
      </c>
      <c r="F17" s="15" t="s">
        <v>88</v>
      </c>
    </row>
    <row r="18" spans="1:6">
      <c r="A18" s="14" t="s">
        <v>90</v>
      </c>
      <c r="B18" s="15" t="s">
        <v>91</v>
      </c>
      <c r="C18" s="16">
        <v>6</v>
      </c>
      <c r="D18" s="16">
        <v>3</v>
      </c>
      <c r="E18" s="16">
        <v>9</v>
      </c>
      <c r="F18" s="15" t="s">
        <v>88</v>
      </c>
    </row>
    <row r="19" spans="1:6">
      <c r="A19" s="14" t="s">
        <v>93</v>
      </c>
      <c r="B19" s="15" t="s">
        <v>94</v>
      </c>
      <c r="C19" s="16">
        <v>4</v>
      </c>
      <c r="D19" s="16">
        <v>7</v>
      </c>
      <c r="E19" s="16">
        <v>11</v>
      </c>
      <c r="F19" s="15" t="s">
        <v>88</v>
      </c>
    </row>
    <row r="20" spans="1:6">
      <c r="A20" s="14" t="s">
        <v>97</v>
      </c>
      <c r="B20" s="15" t="s">
        <v>98</v>
      </c>
      <c r="C20" s="16">
        <v>3</v>
      </c>
      <c r="D20" s="16">
        <v>8</v>
      </c>
      <c r="E20" s="16">
        <v>11</v>
      </c>
      <c r="F20" s="15" t="s">
        <v>88</v>
      </c>
    </row>
    <row r="21" spans="1:6">
      <c r="A21" s="17" t="s">
        <v>99</v>
      </c>
      <c r="B21" s="18" t="s">
        <v>100</v>
      </c>
      <c r="C21" s="19">
        <v>9</v>
      </c>
      <c r="D21" s="19">
        <v>2</v>
      </c>
      <c r="E21" s="19">
        <v>11</v>
      </c>
      <c r="F21" s="18" t="s">
        <v>49</v>
      </c>
    </row>
    <row r="22" spans="1:6">
      <c r="A22" s="17" t="s">
        <v>99</v>
      </c>
      <c r="B22" s="18" t="s">
        <v>102</v>
      </c>
      <c r="C22" s="19">
        <v>1</v>
      </c>
      <c r="D22" s="19">
        <v>8</v>
      </c>
      <c r="E22" s="19">
        <v>9</v>
      </c>
      <c r="F22" s="18" t="s">
        <v>49</v>
      </c>
    </row>
  </sheetData>
  <autoFilter ref="A4:F22"/>
  <pageMargins left="0.4" right="0.4" top="0.5" bottom="0.5" header="0.3" footer="0.3"/>
  <pageSetup fitToHeight="0" orientation="landscape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tPlan">
    <pageSetUpPr fitToPage="1"/>
  </sheetPr>
  <dimension ref="A1:L9"/>
  <sheetViews>
    <sheetView workbookViewId="0">
      <pane ySplit="4" topLeftCell="A5" activePane="bottomLeft" state="frozen"/>
      <selection pane="bottomLeft"/>
    </sheetView>
  </sheetViews>
  <sheetFormatPr defaultRowHeight="15"/>
  <cols>
    <col min="1" max="1" width="14.7109375" customWidth="1"/>
    <col min="2" max="2" width="15.7109375" customWidth="1"/>
    <col min="3" max="3" width="12.7109375" customWidth="1"/>
    <col min="4" max="4" width="14.7109375" customWidth="1"/>
    <col min="5" max="8" width="13.7109375" customWidth="1"/>
    <col min="9" max="9" width="14.7109375" customWidth="1"/>
    <col min="10" max="10" width="3.7109375" customWidth="1"/>
    <col min="11" max="11" width="22.7109375" customWidth="1"/>
    <col min="12" max="12" width="10.7109375" customWidth="1"/>
  </cols>
  <sheetData>
    <row r="1" spans="1:12">
      <c r="A1" s="11" t="s">
        <v>112</v>
      </c>
    </row>
    <row r="2" spans="1:12">
      <c r="A2" s="8" t="s">
        <v>113</v>
      </c>
    </row>
    <row r="4" spans="1:12" ht="30" customHeight="1">
      <c r="A4" s="12" t="s">
        <v>105</v>
      </c>
      <c r="B4" s="12" t="s">
        <v>114</v>
      </c>
      <c r="C4" s="12" t="s">
        <v>115</v>
      </c>
      <c r="D4" s="12" t="s">
        <v>116</v>
      </c>
      <c r="E4" s="12" t="s">
        <v>117</v>
      </c>
      <c r="F4" s="12" t="s">
        <v>118</v>
      </c>
      <c r="G4" s="12" t="s">
        <v>119</v>
      </c>
      <c r="H4" s="12" t="s">
        <v>120</v>
      </c>
      <c r="I4" s="12" t="s">
        <v>121</v>
      </c>
      <c r="K4" s="20" t="s">
        <v>122</v>
      </c>
      <c r="L4" s="20"/>
    </row>
    <row r="5" spans="1:12">
      <c r="A5" s="21" t="s">
        <v>99</v>
      </c>
      <c r="B5" s="22" t="s">
        <v>102</v>
      </c>
      <c r="C5" s="23">
        <v>1</v>
      </c>
      <c r="D5" s="22" t="s">
        <v>100</v>
      </c>
      <c r="E5" s="24">
        <v>2</v>
      </c>
      <c r="F5" s="24">
        <v>11</v>
      </c>
      <c r="G5" s="22" t="s">
        <v>49</v>
      </c>
      <c r="H5" s="22" t="s">
        <v>49</v>
      </c>
      <c r="I5" s="24">
        <v>1</v>
      </c>
      <c r="K5" s="25" t="s">
        <v>123</v>
      </c>
      <c r="L5" s="26">
        <v>2</v>
      </c>
    </row>
    <row r="6" spans="1:12">
      <c r="K6" s="25" t="s">
        <v>124</v>
      </c>
      <c r="L6" s="26">
        <v>1</v>
      </c>
    </row>
    <row r="7" spans="1:12">
      <c r="K7" s="25" t="s">
        <v>125</v>
      </c>
      <c r="L7" s="26">
        <v>1</v>
      </c>
    </row>
    <row r="8" spans="1:12">
      <c r="K8" s="25" t="s">
        <v>126</v>
      </c>
      <c r="L8" s="26">
        <v>1</v>
      </c>
    </row>
    <row r="9" spans="1:12">
      <c r="K9" s="25" t="s">
        <v>127</v>
      </c>
      <c r="L9" s="26">
        <v>2</v>
      </c>
    </row>
  </sheetData>
  <autoFilter ref="A4:I5"/>
  <pageMargins left="0.4" right="0.4" top="0.5" bottom="0.5" header="0.3" footer="0.3"/>
  <pageSetup fitToHeight="0" orientation="landscape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tNotMoved">
    <pageSetUpPr fitToPage="1"/>
  </sheetPr>
  <dimension ref="A1:F6"/>
  <sheetViews>
    <sheetView workbookViewId="0">
      <pane ySplit="4" topLeftCell="A5" activePane="bottomLeft" state="frozen"/>
      <selection pane="bottomLeft"/>
    </sheetView>
  </sheetViews>
  <sheetFormatPr defaultRowHeight="15"/>
  <cols>
    <col min="1" max="2" width="14.7109375" customWidth="1"/>
    <col min="3" max="3" width="13.7109375" customWidth="1"/>
    <col min="4" max="4" width="12.7109375" customWidth="1"/>
    <col min="5" max="5" width="14.7109375" customWidth="1"/>
    <col min="6" max="6" width="56.7109375" customWidth="1"/>
  </cols>
  <sheetData>
    <row r="1" spans="1:6">
      <c r="A1" s="11" t="s">
        <v>128</v>
      </c>
    </row>
    <row r="2" spans="1:6">
      <c r="A2" s="8" t="s">
        <v>129</v>
      </c>
    </row>
    <row r="4" spans="1:6" ht="30" customHeight="1">
      <c r="A4" s="12" t="s">
        <v>105</v>
      </c>
      <c r="B4" s="12" t="s">
        <v>106</v>
      </c>
      <c r="C4" s="12" t="s">
        <v>110</v>
      </c>
      <c r="D4" s="12" t="s">
        <v>130</v>
      </c>
      <c r="E4" s="12" t="s">
        <v>131</v>
      </c>
      <c r="F4" s="12" t="s">
        <v>132</v>
      </c>
    </row>
    <row r="5" spans="1:6">
      <c r="A5" s="21" t="s">
        <v>70</v>
      </c>
      <c r="B5" s="22" t="s">
        <v>71</v>
      </c>
      <c r="C5" s="22" t="s">
        <v>49</v>
      </c>
      <c r="D5" s="24">
        <v>3</v>
      </c>
      <c r="E5" s="24">
        <v>2</v>
      </c>
      <c r="F5" s="27" t="s">
        <v>133</v>
      </c>
    </row>
    <row r="6" spans="1:6">
      <c r="A6" s="14" t="s">
        <v>70</v>
      </c>
      <c r="B6" s="15" t="s">
        <v>73</v>
      </c>
      <c r="C6" s="15" t="s">
        <v>49</v>
      </c>
      <c r="D6" s="16">
        <v>7</v>
      </c>
      <c r="E6" s="16">
        <v>6</v>
      </c>
      <c r="F6" s="14" t="s">
        <v>133</v>
      </c>
    </row>
  </sheetData>
  <autoFilter ref="A4:F6"/>
  <pageMargins left="0.4" right="0.4" top="0.5" bottom="0.5" header="0.3" footer="0.3"/>
  <pageSetup fitToHeight="0"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11</vt:i4>
      </vt:variant>
    </vt:vector>
  </HeadingPairs>
  <TitlesOfParts>
    <vt:vector size="16" baseType="lpstr">
      <vt:lpstr>Start</vt:lpstr>
      <vt:lpstr>Raw Data</vt:lpstr>
      <vt:lpstr>Clean Data</vt:lpstr>
      <vt:lpstr>Consolidation Plan</vt:lpstr>
      <vt:lpstr>Not Consolidated</vt:lpstr>
      <vt:lpstr>AllowSplit</vt:lpstr>
      <vt:lpstr>ExcludeTypes</vt:lpstr>
      <vt:lpstr>LastRun</vt:lpstr>
      <vt:lpstr>MaxLocationQty</vt:lpstr>
      <vt:lpstr>MinLocationQty</vt:lpstr>
      <vt:lpstr>'Clean Data'!Print_Titles</vt:lpstr>
      <vt:lpstr>'Consolidation Plan'!Print_Titles</vt:lpstr>
      <vt:lpstr>'Not Consolidated'!Print_Titles</vt:lpstr>
      <vt:lpstr>RefreshFirst</vt:lpstr>
      <vt:lpstr>RemoveNoCapacity</vt:lpstr>
      <vt:lpstr>SameTypeOnly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Stock Consolidation</dc:title>
  <dc:subject>Location consolidation planner</dc:subject>
  <dc:creator/>
  <cp:lastModifiedBy/>
  <dcterms:created xsi:type="dcterms:W3CDTF">2026-10-04T10:05:56Z</dcterms:created>
  <dcterms:modified xsi:type="dcterms:W3CDTF">2026-10-04T10:05:56Z</dcterms:modified>
</cp:coreProperties>
</file>